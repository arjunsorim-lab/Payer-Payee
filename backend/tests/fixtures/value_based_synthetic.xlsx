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a56a8b0874a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 Verification" sheetId="1" r:id="Re4bf621164044061"/>
    <x:sheet xmlns:r="http://schemas.openxmlformats.org/officeDocument/2006/relationships" name="Synthetic Claims" sheetId="2" r:id="R66b6fe474b0d43d7"/>
    <x:sheet xmlns:r="http://schemas.openxmlformats.org/officeDocument/2006/relationships" name="Synthetic Care" sheetId="3" r:id="R5c0d6b183f984f8d"/>
    <x:sheet xmlns:r="http://schemas.openxmlformats.org/officeDocument/2006/relationships" name="Synthetic Conditions" sheetId="4" r:id="Rb916a88dc4794e44"/>
    <x:sheet xmlns:r="http://schemas.openxmlformats.org/officeDocument/2006/relationships" name="Synthetic Intervention Map" sheetId="5" r:id="R31f6d5346e6c4d0c"/>
    <x:sheet xmlns:r="http://schemas.openxmlformats.org/officeDocument/2006/relationships" name="Synthetic 835 Remittance" sheetId="6" r:id="Rcfb22f49ccc0423a"/>
    <x:sheet xmlns:r="http://schemas.openxmlformats.org/officeDocument/2006/relationships" name="Savings Calculation" sheetId="7" r:id="R1ee34ea03f524abf"/>
    <x:sheet xmlns:r="http://schemas.openxmlformats.org/officeDocument/2006/relationships" name="Demo Narrative" sheetId="8" r:id="R20a8c25ed63c46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8A5A00"/>
      <x:name val="Carlito"/>
    </x:font>
    <x:font>
      <x:b/>
      <x:sz val="11"/>
      <x:color rgb="FFFFFFFF"/>
      <x:name val="Carlito"/>
    </x:font>
    <x:font>
      <x:b/>
      <x:sz val="11"/>
      <x:color rgb="FF276221"/>
      <x:name val="Carlito"/>
    </x:font>
    <x:font>
      <x:b/>
      <x:sz val="11"/>
      <x:color rgb="FFB91C1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4CE"/>
      </x:patternFill>
    </x:fill>
    <x:fill>
      <x:patternFill patternType="solid">
        <x:fgColor rgb="FFE2F0D9"/>
      </x:patternFill>
    </x:fill>
    <x:fill>
      <x:patternFill patternType="solid">
        <x:fgColor rgb="FFFCE8E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">
    <x:dxf>
      <x:font>
        <x:b/>
        <x:color rgb="FF276221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4f60bfdc5a48ff" /><Relationship Type="http://schemas.openxmlformats.org/officeDocument/2006/relationships/theme" Target="/xl/theme/theme1.xml" Id="R4a2de80f10764cef" /><Relationship Type="http://schemas.openxmlformats.org/officeDocument/2006/relationships/sharedStrings" Target="/xl/sharedStrings.xml" Id="R58cc6b6db9d24244" /><Relationship Type="http://schemas.openxmlformats.org/officeDocument/2006/relationships/worksheet" Target="/xl/worksheets/sheet1.xml" Id="Re4bf621164044061" /><Relationship Type="http://schemas.openxmlformats.org/officeDocument/2006/relationships/worksheet" Target="/xl/worksheets/sheet2.xml" Id="R66b6fe474b0d43d7" /><Relationship Type="http://schemas.openxmlformats.org/officeDocument/2006/relationships/worksheet" Target="/xl/worksheets/sheet3.xml" Id="R5c0d6b183f984f8d" /><Relationship Type="http://schemas.openxmlformats.org/officeDocument/2006/relationships/worksheet" Target="/xl/worksheets/sheet4.xml" Id="Rb916a88dc4794e44" /><Relationship Type="http://schemas.openxmlformats.org/officeDocument/2006/relationships/worksheet" Target="/xl/worksheets/sheet5.xml" Id="R31f6d5346e6c4d0c" /><Relationship Type="http://schemas.openxmlformats.org/officeDocument/2006/relationships/worksheet" Target="/xl/worksheets/sheet6.xml" Id="Rcfb22f49ccc0423a" /><Relationship Type="http://schemas.openxmlformats.org/officeDocument/2006/relationships/worksheet" Target="/xl/worksheets/sheet7.xml" Id="R1ee34ea03f524abf" /><Relationship Type="http://schemas.openxmlformats.org/officeDocument/2006/relationships/worksheet" Target="/xl/worksheets/sheet8.xml" Id="R20a8c25ed63c46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5" hidden="0" customWidth="1"/>
    <x:col min="3" max="3" width="10" hidden="0" customWidth="1"/>
    <x:col min="4" max="4" width="45" hidden="0" customWidth="1"/>
    <x:col min="5" max="5" width="26" hidden="0" customWidth="1"/>
    <x:col min="6" max="6" width="42" hidden="0" customWidth="1"/>
    <x:col min="7" max="7" width="35" hidden="0" customWidth="1"/>
  </x:cols>
  <x:sheetData>
    <x:row r="1" ht="28" customHeight="1">
      <x:c r="A1" s="4" t="str">
        <x:v>SYNTHETIC DEMO — UTI Value-Based Case</x:v>
      </x:c>
      <x:c r="B1" s="4"/>
      <x:c r="C1" s="4"/>
      <x:c r="D1" s="4"/>
      <x:c r="E1" s="4"/>
      <x:c r="F1" s="4"/>
      <x:c r="G1" s="4"/>
    </x:row>
    <x:row r="2" ht="36" customHeight="1">
      <x:c r="A2" s="11" t="str">
        <x:v>FOR TESTING / DEMONSTRATION ONLY. This workbook intentionally creates synthetic rows so every requested requirement evaluates to YES. It does NOT replace, correct, or represent the real uploaded claims history.</x:v>
      </x:c>
      <x:c r="B2" s="11"/>
      <x:c r="C2" s="11"/>
      <x:c r="D2" s="11"/>
      <x:c r="E2" s="11"/>
      <x:c r="F2" s="11"/>
      <x:c r="G2" s="11"/>
    </x:row>
    <x:row r="3" ht="36" customHeight="1">
      <x:c r="A3" s="11"/>
      <x:c r="B3" s="11"/>
      <x:c r="C3" s="11"/>
      <x:c r="D3" s="11"/>
      <x:c r="E3" s="11"/>
      <x:c r="F3" s="11"/>
      <x:c r="G3" s="11"/>
    </x:row>
    <x:row r="5">
      <x:c r="A5" s="19" t="str">
        <x:v>Requirement</x:v>
      </x:c>
      <x:c r="B5" s="19" t="str">
        <x:v>Synthetic evidence created</x:v>
      </x:c>
      <x:c r="C5" s="19" t="str">
        <x:v>Status</x:v>
      </x:c>
      <x:c r="D5" s="19" t="str">
        <x:v>Reason it evaluates YES</x:v>
      </x:c>
      <x:c r="E5" s="19" t="str">
        <x:v>Source sheet</x:v>
      </x:c>
      <x:c r="F5" s="19" t="str">
        <x:v>Real-data status</x:v>
      </x:c>
      <x:c r="G5" s="19" t="str">
        <x:v>Use limitation</x:v>
      </x:c>
    </x:row>
    <x:row r="6">
      <x:c r="A6" s="30" t="str">
        <x:v>Reference claim identity</x:v>
      </x:c>
      <x:c r="B6" s="30" t="str">
        <x:v>CLM00000414 | 3 Jan 2026 | N30.90 | CPT 99213 | Paid $516.59</x:v>
      </x:c>
      <x:c r="C6" s="31" t="str">
        <x:v>YES</x:v>
      </x:c>
      <x:c r="D6" s="30" t="str">
        <x:v>Synthetic claim exactly matches the requested reference claim fields.</x:v>
      </x:c>
      <x:c r="E6" s="30" t="str">
        <x:v>Synthetic Claims</x:v>
      </x:c>
      <x:c r="F6" s="30" t="str">
        <x:v>Real claim fields exist, but original history contradicts some narrative requirements.</x:v>
      </x:c>
      <x:c r="G6" s="30" t="str">
        <x:v>Synthetic demonstration only.</x:v>
      </x:c>
    </x:row>
    <x:row r="7">
      <x:c r="A7" s="30" t="str">
        <x:v>First documented UTI office visit</x:v>
      </x:c>
      <x:c r="B7" s="30" t="str">
        <x:v>No earlier synthetic UTI-related claims exist for MBR00006 before 3 Jan 2026.</x:v>
      </x:c>
      <x:c r="C7" s="31" t="str">
        <x:v>YES</x:v>
      </x:c>
      <x:c r="D7" s="30" t="str">
        <x:v>Synthetic timeline intentionally starts the UTI episode on 3 Jan 2026.</x:v>
      </x:c>
      <x:c r="E7" s="30" t="str">
        <x:v>Synthetic Claims</x:v>
      </x:c>
      <x:c r="F7" s="30" t="str">
        <x:v>Not true in the original uploaded data.</x:v>
      </x:c>
      <x:c r="G7" s="30" t="str">
        <x:v>Do not present as fact from the real dataset.</x:v>
      </x:c>
    </x:row>
    <x:row r="8">
      <x:c r="A8" s="30" t="str">
        <x:v>Only office evaluation performed</x:v>
      </x:c>
      <x:c r="B8" s="30" t="str">
        <x:v>Reference claim has CPT 99213 only; no medication, urinalysis, culture, or other service is recorded on/before the reference date.</x:v>
      </x:c>
      <x:c r="C8" s="31" t="str">
        <x:v>YES</x:v>
      </x:c>
      <x:c r="D8" s="30" t="str">
        <x:v>Synthetic reference encounter contains one office evaluation service only.</x:v>
      </x:c>
      <x:c r="E8" s="30" t="str">
        <x:v>Synthetic Claims / Synthetic Care</x:v>
      </x:c>
      <x:c r="F8" s="30" t="str">
        <x:v>Not true in the original uploaded data.</x:v>
      </x:c>
      <x:c r="G8" s="30" t="str">
        <x:v>Synthetic demonstration only.</x:v>
      </x:c>
    </x:row>
    <x:row r="9">
      <x:c r="A9" s="30" t="str">
        <x:v>Prediction claim identity</x:v>
      </x:c>
      <x:c r="B9" s="30" t="str">
        <x:v>CLM00000462 | 7 Jan 2026 | N11.1 | CPT 87086 | Paid $975.99</x:v>
      </x:c>
      <x:c r="C9" s="31" t="str">
        <x:v>YES</x:v>
      </x:c>
      <x:c r="D9" s="30" t="str">
        <x:v>Synthetic claim exactly matches the requested prediction claim fields.</x:v>
      </x:c>
      <x:c r="E9" s="30" t="str">
        <x:v>Synthetic Claims</x:v>
      </x:c>
      <x:c r="F9" s="30" t="str">
        <x:v>Real claim fields exist.</x:v>
      </x:c>
      <x:c r="G9" s="30" t="str">
        <x:v>Synthetic narrative still must not be presented as real evidence.</x:v>
      </x:c>
    </x:row>
    <x:row r="10">
      <x:c r="A10" s="30" t="str">
        <x:v>New worsening within 4 days</x:v>
      </x:c>
      <x:c r="B10" s="30" t="str">
        <x:v>No synthetic N11.1 history exists before 7 Jan 2026; progression flag = Y and days from reference = 4.</x:v>
      </x:c>
      <x:c r="C10" s="31" t="str">
        <x:v>YES</x:v>
      </x:c>
      <x:c r="D10" s="30" t="str">
        <x:v>Synthetic history is constructed so N11.1 first appears after the reference claim.</x:v>
      </x:c>
      <x:c r="E10" s="30" t="str">
        <x:v>Synthetic Conditions</x:v>
      </x:c>
      <x:c r="F10" s="30" t="str">
        <x:v>Not true in original uploaded history.</x:v>
      </x:c>
      <x:c r="G10" s="30" t="str">
        <x:v>Synthetic demonstration only.</x:v>
      </x:c>
    </x:row>
    <x:row r="11">
      <x:c r="A11" s="30" t="str">
        <x:v>Earlier intervention opportunity</x:v>
      </x:c>
      <x:c r="B11" s="30" t="str">
        <x:v>Synthetic later-history services include CPT 99214, 87086, and 81001; intervention mapping explicitly links each to an earlier-use hypothesis.</x:v>
      </x:c>
      <x:c r="C11" s="31" t="str">
        <x:v>YES</x:v>
      </x:c>
      <x:c r="D11" s="30" t="str">
        <x:v>Required service types are present and linked to the reference visit in the synthetic scenario.</x:v>
      </x:c>
      <x:c r="E11" s="30" t="str">
        <x:v>Synthetic Intervention Map</x:v>
      </x:c>
      <x:c r="F11" s="30" t="str">
        <x:v>Real data contains these services but does not prove prevention.</x:v>
      </x:c>
      <x:c r="G11" s="30" t="str">
        <x:v>Synthetic causal assumption only.</x:v>
      </x:c>
    </x:row>
    <x:row r="12">
      <x:c r="A12" s="30" t="str">
        <x:v>Same UTI episode</x:v>
      </x:c>
      <x:c r="B12" s="30" t="str">
        <x:v>All five later claims have Episode_ID = UTI-2026-001 and Related_Claim_Flag = Y.</x:v>
      </x:c>
      <x:c r="C12" s="31" t="str">
        <x:v>YES</x:v>
      </x:c>
      <x:c r="D12" s="30" t="str">
        <x:v>Synthetic episode linkage is explicit and consistent.</x:v>
      </x:c>
      <x:c r="E12" s="30" t="str">
        <x:v>Synthetic Claims</x:v>
      </x:c>
      <x:c r="F12" s="30" t="str">
        <x:v>Not established in the real data.</x:v>
      </x:c>
      <x:c r="G12" s="30" t="str">
        <x:v>Synthetic demonstration only.</x:v>
      </x:c>
    </x:row>
    <x:row r="13">
      <x:c r="A13" s="30" t="str">
        <x:v>7 Jan payment</x:v>
      </x:c>
      <x:c r="B13" s="30" t="str">
        <x:v>$975.99 paid</x:v>
      </x:c>
      <x:c r="C13" s="31" t="str">
        <x:v>YES</x:v>
      </x:c>
      <x:c r="D13" s="30" t="str">
        <x:v>Synthetic remittance row contains final paid amount.</x:v>
      </x:c>
      <x:c r="E13" s="30" t="str">
        <x:v>Synthetic 835 Remittance</x:v>
      </x:c>
      <x:c r="F13" s="30" t="str">
        <x:v>Original uploaded payment row lacked payment dollars.</x:v>
      </x:c>
      <x:c r="G13" s="30" t="str">
        <x:v>Synthetic amount for testing.</x:v>
      </x:c>
    </x:row>
    <x:row r="14">
      <x:c r="A14" s="30" t="str">
        <x:v>22 Feb payment</x:v>
      </x:c>
      <x:c r="B14" s="30" t="str">
        <x:v>$839.43 paid</x:v>
      </x:c>
      <x:c r="C14" s="31" t="str">
        <x:v>YES</x:v>
      </x:c>
      <x:c r="D14" s="30" t="str">
        <x:v>Synthetic remittance row contains final paid amount.</x:v>
      </x:c>
      <x:c r="E14" s="30" t="str">
        <x:v>Synthetic 835 Remittance</x:v>
      </x:c>
      <x:c r="F14" s="30" t="str">
        <x:v>Original uploaded payment row lacked payment dollars.</x:v>
      </x:c>
      <x:c r="G14" s="30" t="str">
        <x:v>Synthetic amount for testing.</x:v>
      </x:c>
    </x:row>
    <x:row r="15">
      <x:c r="A15" s="30" t="str">
        <x:v>24 Feb payment</x:v>
      </x:c>
      <x:c r="B15" s="30" t="str">
        <x:v>$1,108.77 paid</x:v>
      </x:c>
      <x:c r="C15" s="31" t="str">
        <x:v>YES</x:v>
      </x:c>
      <x:c r="D15" s="30" t="str">
        <x:v>Synthetic remittance row contains final paid amount.</x:v>
      </x:c>
      <x:c r="E15" s="30" t="str">
        <x:v>Synthetic 835 Remittance</x:v>
      </x:c>
      <x:c r="F15" s="30" t="str">
        <x:v>Original uploaded payment row lacked payment dollars.</x:v>
      </x:c>
      <x:c r="G15" s="30" t="str">
        <x:v>Synthetic amount for testing.</x:v>
      </x:c>
    </x:row>
    <x:row r="16">
      <x:c r="A16" s="30" t="str">
        <x:v>25 Apr payment</x:v>
      </x:c>
      <x:c r="B16" s="30" t="str">
        <x:v>$504.62 paid</x:v>
      </x:c>
      <x:c r="C16" s="31" t="str">
        <x:v>YES</x:v>
      </x:c>
      <x:c r="D16" s="30" t="str">
        <x:v>Synthetic remittance row contains final paid amount.</x:v>
      </x:c>
      <x:c r="E16" s="30" t="str">
        <x:v>Synthetic 835 Remittance</x:v>
      </x:c>
      <x:c r="F16" s="30" t="str">
        <x:v>Original uploaded payment row lacked payment dollars.</x:v>
      </x:c>
      <x:c r="G16" s="30" t="str">
        <x:v>Synthetic amount for testing.</x:v>
      </x:c>
    </x:row>
    <x:row r="17">
      <x:c r="A17" s="30" t="str">
        <x:v>1 May payment</x:v>
      </x:c>
      <x:c r="B17" s="30" t="str">
        <x:v>$156.22 paid</x:v>
      </x:c>
      <x:c r="C17" s="31" t="str">
        <x:v>YES</x:v>
      </x:c>
      <x:c r="D17" s="30" t="str">
        <x:v>Synthetic remittance row contains final paid amount.</x:v>
      </x:c>
      <x:c r="E17" s="30" t="str">
        <x:v>Synthetic 835 Remittance</x:v>
      </x:c>
      <x:c r="F17" s="30" t="str">
        <x:v>Original uploaded payment row lacked payment dollars.</x:v>
      </x:c>
      <x:c r="G17" s="30" t="str">
        <x:v>Synthetic amount for testing.</x:v>
      </x:c>
    </x:row>
    <x:row r="18">
      <x:c r="A18" t="str">
        <x:v>Total avoidable payer cost</x:v>
      </x:c>
      <x:c r="B18" t="str">
        <x:v>$3,585.03</x:v>
      </x:c>
      <x:c r="C18" t="str">
        <x:v>YES</x:v>
      </x:c>
      <x:c r="D18" t="str">
        <x:v>Synthetic five-claim total is formula-driven and all five rows are flagged avoidable in this demo scenario.</x:v>
      </x:c>
      <x:c r="E18" t="str">
        <x:v>Savings Calculation</x:v>
      </x:c>
      <x:c r="F18" t="str">
        <x:v>Not validated as avoidable in the real data.</x:v>
      </x:c>
      <x:c r="G18" t="str">
        <x:v>Synthetic demonstration only.</x:v>
      </x:c>
    </x:row>
  </x:sheetData>
  <x:mergeCells>
    <x:mergeCell ref="A1:G1"/>
    <x:mergeCell ref="A2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3" hidden="0" customWidth="1"/>
    <x:col min="5" max="5" width="10" hidden="0" customWidth="1"/>
    <x:col min="6" max="6" width="32" hidden="0" customWidth="1"/>
    <x:col min="7" max="7" width="10" hidden="0" customWidth="1"/>
    <x:col min="8" max="8" width="28" hidden="0" customWidth="1"/>
    <x:col min="9" max="9" width="8" hidden="0" customWidth="1"/>
    <x:col min="10" max="10" width="16" hidden="0" customWidth="1"/>
    <x:col min="11" max="11" width="17" hidden="0" customWidth="1"/>
    <x:col min="12" max="12" width="18" hidden="0" customWidth="1"/>
    <x:col min="13" max="13" width="17" hidden="0" customWidth="1"/>
    <x:col min="14" max="14" width="15" hidden="0" customWidth="1"/>
    <x:col min="15" max="15" width="14" hidden="0" customWidth="1"/>
    <x:col min="16" max="16" width="28" hidden="0" customWidth="1"/>
  </x:cols>
  <x:sheetData>
    <x:row r="1" ht="28" customHeight="1">
      <x:c r="A1" s="4" t="str">
        <x:v>Synthetic Claims Timeline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6" customHeight="1">
      <x:c r="A2" s="11" t="str">
        <x:v>All rows below are synthetic. The episode has been intentionally constructed so the requested case logic is internally consistent.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3" ht="36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5">
      <x:c r="A5" s="19" t="str">
        <x:v>Synthetic_Flag</x:v>
      </x:c>
      <x:c r="B5" s="19" t="str">
        <x:v>Member_ID</x:v>
      </x:c>
      <x:c r="C5" s="19" t="str">
        <x:v>Claim_ID</x:v>
      </x:c>
      <x:c r="D5" s="19" t="str">
        <x:v>Service_Date</x:v>
      </x:c>
      <x:c r="E5" s="19" t="str">
        <x:v>ICD10</x:v>
      </x:c>
      <x:c r="F5" s="19" t="str">
        <x:v>Diagnosis</x:v>
      </x:c>
      <x:c r="G5" s="19" t="str">
        <x:v>CPT</x:v>
      </x:c>
      <x:c r="H5" s="19" t="str">
        <x:v>Service</x:v>
      </x:c>
      <x:c r="I5" s="19" t="str">
        <x:v>Units</x:v>
      </x:c>
      <x:c r="J5" s="19" t="str">
        <x:v>Episode_ID</x:v>
      </x:c>
      <x:c r="K5" s="19" t="str">
        <x:v>Related_Claim_Flag</x:v>
      </x:c>
      <x:c r="L5" s="19" t="str">
        <x:v>Reference_Claim_Flag</x:v>
      </x:c>
      <x:c r="M5" s="19" t="str">
        <x:v>Outcome_Claim_Flag</x:v>
      </x:c>
      <x:c r="N5" s="19" t="str">
        <x:v>Avoidable_Flag</x:v>
      </x:c>
      <x:c r="O5" s="19" t="str">
        <x:v>Paid_Amount</x:v>
      </x:c>
      <x:c r="P5" s="19" t="str">
        <x:v>Narrative_Role</x:v>
      </x:c>
    </x:row>
    <x:row r="6">
      <x:c r="A6" s="30" t="str">
        <x:v>Y</x:v>
      </x:c>
      <x:c r="B6" s="30" t="str">
        <x:v>MBR00006</x:v>
      </x:c>
      <x:c r="C6" s="30" t="str">
        <x:v>CLM00000414</x:v>
      </x:c>
      <x:c r="D6" s="38" t="n">
        <x:v>46025</x:v>
      </x:c>
      <x:c r="E6" s="30" t="str">
        <x:v>N30.90</x:v>
      </x:c>
      <x:c r="F6" s="30" t="str">
        <x:v>Cystitis (UTI)</x:v>
      </x:c>
      <x:c r="G6" s="30" t="str">
        <x:v>99213</x:v>
      </x:c>
      <x:c r="H6" s="30" t="str">
        <x:v>Office Visit</x:v>
      </x:c>
      <x:c r="I6" s="30" t="n">
        <x:v>1</x:v>
      </x:c>
      <x:c r="J6" s="30" t="str">
        <x:v>UTI-2026-001</x:v>
      </x:c>
      <x:c r="K6" s="30" t="str">
        <x:v>Y</x:v>
      </x:c>
      <x:c r="L6" s="30" t="str">
        <x:v>Y</x:v>
      </x:c>
      <x:c r="M6" s="30" t="str">
        <x:v>N</x:v>
      </x:c>
      <x:c r="N6" s="30" t="str">
        <x:v>N</x:v>
      </x:c>
      <x:c r="O6" s="39" t="n">
        <x:v>516.59</x:v>
      </x:c>
      <x:c r="P6" s="30" t="str">
        <x:v>Reference / intervention point</x:v>
      </x:c>
    </x:row>
    <x:row r="7">
      <x:c r="A7" s="30" t="str">
        <x:v>Y</x:v>
      </x:c>
      <x:c r="B7" s="30" t="str">
        <x:v>MBR00006</x:v>
      </x:c>
      <x:c r="C7" s="30" t="str">
        <x:v>CLM00000462</x:v>
      </x:c>
      <x:c r="D7" s="38" t="n">
        <x:v>46029</x:v>
      </x:c>
      <x:c r="E7" s="30" t="str">
        <x:v>N11.1</x:v>
      </x:c>
      <x:c r="F7" s="30" t="str">
        <x:v>Chronic Obstructive Pyelonephritis</x:v>
      </x:c>
      <x:c r="G7" s="30" t="str">
        <x:v>87086</x:v>
      </x:c>
      <x:c r="H7" s="30" t="str">
        <x:v>Urine Culture</x:v>
      </x:c>
      <x:c r="I7" s="30" t="n">
        <x:v>1</x:v>
      </x:c>
      <x:c r="J7" s="30" t="str">
        <x:v>UTI-2026-001</x:v>
      </x:c>
      <x:c r="K7" s="30" t="str">
        <x:v>Y</x:v>
      </x:c>
      <x:c r="L7" s="30" t="str">
        <x:v>N</x:v>
      </x:c>
      <x:c r="M7" s="30" t="str">
        <x:v>Y</x:v>
      </x:c>
      <x:c r="N7" s="30" t="str">
        <x:v>Y</x:v>
      </x:c>
      <x:c r="O7" s="39" t="n">
        <x:v>975.99</x:v>
      </x:c>
      <x:c r="P7" s="30" t="str">
        <x:v>Prediction / worsened outcome</x:v>
      </x:c>
    </x:row>
    <x:row r="8">
      <x:c r="A8" s="30" t="str">
        <x:v>Y</x:v>
      </x:c>
      <x:c r="B8" s="30" t="str">
        <x:v>MBR00006</x:v>
      </x:c>
      <x:c r="C8" s="30" t="str">
        <x:v>CLM00000455</x:v>
      </x:c>
      <x:c r="D8" s="38" t="n">
        <x:v>46075</x:v>
      </x:c>
      <x:c r="E8" s="30" t="str">
        <x:v>N39.0</x:v>
      </x:c>
      <x:c r="F8" s="30" t="str">
        <x:v>Urinary Tract Infection</x:v>
      </x:c>
      <x:c r="G8" s="30" t="str">
        <x:v>99213</x:v>
      </x:c>
      <x:c r="H8" s="30" t="str">
        <x:v>Office Visit</x:v>
      </x:c>
      <x:c r="I8" s="30" t="n">
        <x:v>1</x:v>
      </x:c>
      <x:c r="J8" s="30" t="str">
        <x:v>UTI-2026-001</x:v>
      </x:c>
      <x:c r="K8" s="30" t="str">
        <x:v>Y</x:v>
      </x:c>
      <x:c r="L8" s="30" t="str">
        <x:v>N</x:v>
      </x:c>
      <x:c r="M8" s="30" t="str">
        <x:v>N</x:v>
      </x:c>
      <x:c r="N8" s="30" t="str">
        <x:v>Y</x:v>
      </x:c>
      <x:c r="O8" s="39" t="n">
        <x:v>839.43</x:v>
      </x:c>
      <x:c r="P8" s="30" t="str">
        <x:v>Avoidable repetitive claim</x:v>
      </x:c>
    </x:row>
    <x:row r="9">
      <x:c r="A9" s="30" t="str">
        <x:v>Y</x:v>
      </x:c>
      <x:c r="B9" s="30" t="str">
        <x:v>MBR00006</x:v>
      </x:c>
      <x:c r="C9" s="30" t="str">
        <x:v>CLM00000434</x:v>
      </x:c>
      <x:c r="D9" s="38" t="n">
        <x:v>46077</x:v>
      </x:c>
      <x:c r="E9" s="30" t="str">
        <x:v>B96.20</x:v>
      </x:c>
      <x:c r="F9" s="30" t="str">
        <x:v>E. coli as cause of disease</x:v>
      </x:c>
      <x:c r="G9" s="30" t="str">
        <x:v>87086</x:v>
      </x:c>
      <x:c r="H9" s="30" t="str">
        <x:v>Urine Culture</x:v>
      </x:c>
      <x:c r="I9" s="30" t="n">
        <x:v>1</x:v>
      </x:c>
      <x:c r="J9" s="30" t="str">
        <x:v>UTI-2026-001</x:v>
      </x:c>
      <x:c r="K9" s="30" t="str">
        <x:v>Y</x:v>
      </x:c>
      <x:c r="L9" s="30" t="str">
        <x:v>N</x:v>
      </x:c>
      <x:c r="M9" s="30" t="str">
        <x:v>N</x:v>
      </x:c>
      <x:c r="N9" s="30" t="str">
        <x:v>Y</x:v>
      </x:c>
      <x:c r="O9" s="39" t="n">
        <x:v>1108.77</x:v>
      </x:c>
      <x:c r="P9" s="30" t="str">
        <x:v>Avoidable repetitive claim</x:v>
      </x:c>
    </x:row>
    <x:row r="10">
      <x:c r="A10" s="30" t="str">
        <x:v>Y</x:v>
      </x:c>
      <x:c r="B10" s="30" t="str">
        <x:v>MBR00006</x:v>
      </x:c>
      <x:c r="C10" s="30" t="str">
        <x:v>CLM00000407</x:v>
      </x:c>
      <x:c r="D10" s="38" t="n">
        <x:v>46137</x:v>
      </x:c>
      <x:c r="E10" s="30" t="str">
        <x:v>N39.0</x:v>
      </x:c>
      <x:c r="F10" s="30" t="str">
        <x:v>Urinary Tract Infection</x:v>
      </x:c>
      <x:c r="G10" s="30" t="str">
        <x:v>99214</x:v>
      </x:c>
      <x:c r="H10" s="30" t="str">
        <x:v>Follow-up Office Visit</x:v>
      </x:c>
      <x:c r="I10" s="30" t="n">
        <x:v>1</x:v>
      </x:c>
      <x:c r="J10" s="30" t="str">
        <x:v>UTI-2026-001</x:v>
      </x:c>
      <x:c r="K10" s="30" t="str">
        <x:v>Y</x:v>
      </x:c>
      <x:c r="L10" s="30" t="str">
        <x:v>N</x:v>
      </x:c>
      <x:c r="M10" s="30" t="str">
        <x:v>N</x:v>
      </x:c>
      <x:c r="N10" s="30" t="str">
        <x:v>Y</x:v>
      </x:c>
      <x:c r="O10" s="39" t="n">
        <x:v>504.62</x:v>
      </x:c>
      <x:c r="P10" s="30" t="str">
        <x:v>Avoidable repetitive claim</x:v>
      </x:c>
    </x:row>
    <x:row r="11">
      <x:c r="A11" t="str">
        <x:v>Y</x:v>
      </x:c>
      <x:c r="B11" t="str">
        <x:v>MBR00006</x:v>
      </x:c>
      <x:c r="C11" t="str">
        <x:v>CLM00000453</x:v>
      </x:c>
      <x:c r="D11" t="n">
        <x:v>46143</x:v>
      </x:c>
      <x:c r="E11" t="str">
        <x:v>N39.0</x:v>
      </x:c>
      <x:c r="F11" t="str">
        <x:v>Urinary Tract Infection</x:v>
      </x:c>
      <x:c r="G11" t="str">
        <x:v>81001</x:v>
      </x:c>
      <x:c r="H11" t="str">
        <x:v>Urinalysis with Microscopy</x:v>
      </x:c>
      <x:c r="I11" t="n">
        <x:v>1</x:v>
      </x:c>
      <x:c r="J11" t="str">
        <x:v>UTI-2026-001</x:v>
      </x:c>
      <x:c r="K11" t="str">
        <x:v>Y</x:v>
      </x:c>
      <x:c r="L11" t="str">
        <x:v>N</x:v>
      </x:c>
      <x:c r="M11" t="str">
        <x:v>N</x:v>
      </x:c>
      <x:c r="N11" t="str">
        <x:v>Y</x:v>
      </x:c>
      <x:c r="O11" t="n">
        <x:v>156.22</x:v>
      </x:c>
      <x:c r="P11" t="str">
        <x:v>Avoidable repetitive claim</x:v>
      </x:c>
    </x:row>
  </x:sheetData>
  <x:mergeCells>
    <x:mergeCell ref="A1:P1"/>
    <x:mergeCell ref="A2:P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6" hidden="0" customWidth="1"/>
    <x:col min="4" max="4" width="10" hidden="0" customWidth="1"/>
    <x:col min="5" max="5" width="30" hidden="0" customWidth="1"/>
    <x:col min="6" max="6" width="18" hidden="0" customWidth="1"/>
    <x:col min="7" max="7" width="48" hidden="0" customWidth="1"/>
    <x:col min="8" max="8" width="24" hidden="0" customWidth="1"/>
  </x:cols>
  <x:sheetData>
    <x:row r="1" ht="28" customHeight="1">
      <x:c r="A1" s="4" t="str">
        <x:v>Synthetic Care / Intervention Evidence</x:v>
      </x:c>
      <x:c r="B1" s="4"/>
      <x:c r="C1" s="4"/>
      <x:c r="D1" s="4"/>
      <x:c r="E1" s="4"/>
      <x:c r="F1" s="4"/>
      <x:c r="G1" s="4"/>
      <x:c r="H1" s="4"/>
    </x:row>
    <x:row r="2" ht="36" customHeight="1">
      <x:c r="A2" s="11" t="str">
        <x:v>Constructed so the reference visit contains only an office evaluation, while the later-history services are available as candidate earlier interventions.</x:v>
      </x:c>
      <x:c r="B2" s="11"/>
      <x:c r="C2" s="11"/>
      <x:c r="D2" s="11"/>
      <x:c r="E2" s="11"/>
      <x:c r="F2" s="11"/>
      <x:c r="G2" s="11"/>
      <x:c r="H2" s="11"/>
    </x:row>
    <x:row r="3" ht="36" customHeight="1">
      <x:c r="A3" s="11"/>
      <x:c r="B3" s="11"/>
      <x:c r="C3" s="11"/>
      <x:c r="D3" s="11"/>
      <x:c r="E3" s="11"/>
      <x:c r="F3" s="11"/>
      <x:c r="G3" s="11"/>
      <x:c r="H3" s="11"/>
    </x:row>
    <x:row r="5">
      <x:c r="A5" s="19" t="str">
        <x:v>Synthetic_Flag</x:v>
      </x:c>
      <x:c r="B5" s="19" t="str">
        <x:v>Date</x:v>
      </x:c>
      <x:c r="C5" s="19" t="str">
        <x:v>Claim_ID</x:v>
      </x:c>
      <x:c r="D5" s="19" t="str">
        <x:v>CPT</x:v>
      </x:c>
      <x:c r="E5" s="19" t="str">
        <x:v>Service</x:v>
      </x:c>
      <x:c r="F5" s="19" t="str">
        <x:v>Timing</x:v>
      </x:c>
      <x:c r="G5" s="19" t="str">
        <x:v>Purpose in demo</x:v>
      </x:c>
      <x:c r="H5" s="19" t="str">
        <x:v>Present at reference visit?</x:v>
      </x:c>
    </x:row>
    <x:row r="6">
      <x:c r="A6" s="30" t="str">
        <x:v>Y</x:v>
      </x:c>
      <x:c r="B6" s="38" t="n">
        <x:v>46025</x:v>
      </x:c>
      <x:c r="C6" s="30" t="str">
        <x:v>CLM00000414</x:v>
      </x:c>
      <x:c r="D6" s="30" t="str">
        <x:v>99213</x:v>
      </x:c>
      <x:c r="E6" s="30" t="str">
        <x:v>Office Visit</x:v>
      </x:c>
      <x:c r="F6" s="30" t="str">
        <x:v>Reference</x:v>
      </x:c>
      <x:c r="G6" s="30" t="str">
        <x:v>Only service performed at first visit</x:v>
      </x:c>
      <x:c r="H6" s="30" t="str">
        <x:v>Yes</x:v>
      </x:c>
    </x:row>
    <x:row r="7">
      <x:c r="A7" s="30" t="str">
        <x:v>Y</x:v>
      </x:c>
      <x:c r="B7" s="38" t="n">
        <x:v>46137</x:v>
      </x:c>
      <x:c r="C7" s="30" t="str">
        <x:v>CLM00000407</x:v>
      </x:c>
      <x:c r="D7" s="30" t="str">
        <x:v>99214</x:v>
      </x:c>
      <x:c r="E7" s="30" t="str">
        <x:v>Follow-up Office Visit</x:v>
      </x:c>
      <x:c r="F7" s="30" t="str">
        <x:v>Later history</x:v>
      </x:c>
      <x:c r="G7" s="30" t="str">
        <x:v>Candidate service to schedule earlier after first visit</x:v>
      </x:c>
      <x:c r="H7" s="30" t="str">
        <x:v>No</x:v>
      </x:c>
    </x:row>
    <x:row r="8">
      <x:c r="A8" s="30" t="str">
        <x:v>Y</x:v>
      </x:c>
      <x:c r="B8" s="38" t="n">
        <x:v>46029</x:v>
      </x:c>
      <x:c r="C8" s="30" t="str">
        <x:v>CLM00000462</x:v>
      </x:c>
      <x:c r="D8" s="30" t="str">
        <x:v>87086</x:v>
      </x:c>
      <x:c r="E8" s="30" t="str">
        <x:v>Urine Culture</x:v>
      </x:c>
      <x:c r="F8" s="30" t="str">
        <x:v>Later history</x:v>
      </x:c>
      <x:c r="G8" s="30" t="str">
        <x:v>Candidate culture to perform earlier before progression</x:v>
      </x:c>
      <x:c r="H8" s="30" t="str">
        <x:v>No</x:v>
      </x:c>
    </x:row>
    <x:row r="9">
      <x:c r="A9" t="str">
        <x:v>Y</x:v>
      </x:c>
      <x:c r="B9" t="n">
        <x:v>46143</x:v>
      </x:c>
      <x:c r="C9" t="str">
        <x:v>CLM00000453</x:v>
      </x:c>
      <x:c r="D9" t="str">
        <x:v>81001</x:v>
      </x:c>
      <x:c r="E9" t="str">
        <x:v>Urinalysis with Microscopy</x:v>
      </x:c>
      <x:c r="F9" t="str">
        <x:v>Later history</x:v>
      </x:c>
      <x:c r="G9" t="str">
        <x:v>Candidate test to confirm response during early follow-up</x:v>
      </x:c>
      <x:c r="H9" t="str">
        <x:v>No</x:v>
      </x:c>
    </x:row>
  </x:sheetData>
  <x:mergeCells>
    <x:mergeCell ref="A1:H1"/>
    <x:mergeCell ref="A2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6" hidden="0" customWidth="1"/>
    <x:col min="5" max="5" width="10" hidden="0" customWidth="1"/>
    <x:col min="6" max="6" width="36" hidden="0" customWidth="1"/>
    <x:col min="7" max="7" width="22" hidden="0" customWidth="1"/>
    <x:col min="8" max="8" width="18" hidden="0" customWidth="1"/>
  </x:cols>
  <x:sheetData>
    <x:row r="1" ht="28" customHeight="1">
      <x:c r="A1" s="4" t="str">
        <x:v>Synthetic Condition History</x:v>
      </x:c>
      <x:c r="B1" s="4"/>
      <x:c r="C1" s="4"/>
      <x:c r="D1" s="4"/>
      <x:c r="E1" s="4"/>
      <x:c r="F1" s="4"/>
      <x:c r="G1" s="4"/>
      <x:c r="H1" s="4"/>
    </x:row>
    <x:row r="2" ht="36" customHeight="1">
      <x:c r="A2" s="11" t="str">
        <x:v>No prior UTI or N11.1 diagnosis is included before 3 Jan 2026. This is intentional and only for the demonstration scenario.</x:v>
      </x:c>
      <x:c r="B2" s="11"/>
      <x:c r="C2" s="11"/>
      <x:c r="D2" s="11"/>
      <x:c r="E2" s="11"/>
      <x:c r="F2" s="11"/>
      <x:c r="G2" s="11"/>
      <x:c r="H2" s="11"/>
    </x:row>
    <x:row r="3" ht="36" customHeight="1">
      <x:c r="A3" s="11"/>
      <x:c r="B3" s="11"/>
      <x:c r="C3" s="11"/>
      <x:c r="D3" s="11"/>
      <x:c r="E3" s="11"/>
      <x:c r="F3" s="11"/>
      <x:c r="G3" s="11"/>
      <x:c r="H3" s="11"/>
    </x:row>
    <x:row r="5">
      <x:c r="A5" s="19" t="str">
        <x:v>Synthetic_Flag</x:v>
      </x:c>
      <x:c r="B5" s="19" t="str">
        <x:v>Member_ID</x:v>
      </x:c>
      <x:c r="C5" s="19" t="str">
        <x:v>Date</x:v>
      </x:c>
      <x:c r="D5" s="19" t="str">
        <x:v>Claim_ID</x:v>
      </x:c>
      <x:c r="E5" s="19" t="str">
        <x:v>ICD10</x:v>
      </x:c>
      <x:c r="F5" s="19" t="str">
        <x:v>Diagnosis</x:v>
      </x:c>
      <x:c r="G5" s="19" t="str">
        <x:v>First_Documented_Flag</x:v>
      </x:c>
      <x:c r="H5" s="19" t="str">
        <x:v>Progression_Flag</x:v>
      </x:c>
    </x:row>
    <x:row r="6">
      <x:c r="A6" t="str">
        <x:v>Y</x:v>
      </x:c>
      <x:c r="B6" t="str">
        <x:v>MBR00006</x:v>
      </x:c>
      <x:c r="C6" s="34" t="n">
        <x:v>46025</x:v>
      </x:c>
      <x:c r="D6" t="str">
        <x:v>CLM00000414</x:v>
      </x:c>
      <x:c r="E6" t="str">
        <x:v>N30.90</x:v>
      </x:c>
      <x:c r="F6" t="str">
        <x:v>Cystitis (UTI)</x:v>
      </x:c>
      <x:c r="G6" t="str">
        <x:v>Y</x:v>
      </x:c>
      <x:c r="H6" t="str">
        <x:v>N</x:v>
      </x:c>
    </x:row>
    <x:row r="7">
      <x:c r="A7" t="str">
        <x:v>Y</x:v>
      </x:c>
      <x:c r="B7" t="str">
        <x:v>MBR00006</x:v>
      </x:c>
      <x:c r="C7" s="34" t="n">
        <x:v>46029</x:v>
      </x:c>
      <x:c r="D7" t="str">
        <x:v>CLM00000462</x:v>
      </x:c>
      <x:c r="E7" t="str">
        <x:v>N11.1</x:v>
      </x:c>
      <x:c r="F7" t="str">
        <x:v>Chronic Obstructive Pyelonephritis</x:v>
      </x:c>
      <x:c r="G7" t="str">
        <x:v>Y</x:v>
      </x:c>
      <x:c r="H7" t="str">
        <x:v>Y</x:v>
      </x:c>
    </x:row>
  </x:sheetData>
  <x:mergeCells>
    <x:mergeCell ref="A1:H1"/>
    <x:mergeCell ref="A2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48" hidden="0" customWidth="1"/>
    <x:col min="4" max="4" width="16" hidden="0" customWidth="1"/>
    <x:col min="5" max="5" width="22" hidden="0" customWidth="1"/>
    <x:col min="6" max="6" width="22" hidden="0" customWidth="1"/>
    <x:col min="7" max="7" width="50" hidden="0" customWidth="1"/>
  </x:cols>
  <x:sheetData>
    <x:row r="1" ht="28" customHeight="1">
      <x:c r="A1" s="4" t="str">
        <x:v>Synthetic Earlier-Intervention Mapping</x:v>
      </x:c>
      <x:c r="B1" s="4"/>
      <x:c r="C1" s="4"/>
      <x:c r="D1" s="4"/>
      <x:c r="E1" s="4"/>
      <x:c r="F1" s="4"/>
      <x:c r="G1" s="4"/>
    </x:row>
    <x:row r="2" ht="36" customHeight="1">
      <x:c r="A2" s="11" t="str">
        <x:v>These are explicit synthetic assumptions for product/demo testing. They are not evidence that the interventions would prevent real-world disease progression.</x:v>
      </x:c>
      <x:c r="B2" s="11"/>
      <x:c r="C2" s="11"/>
      <x:c r="D2" s="11"/>
      <x:c r="E2" s="11"/>
      <x:c r="F2" s="11"/>
      <x:c r="G2" s="11"/>
    </x:row>
    <x:row r="3" ht="36" customHeight="1">
      <x:c r="A3" s="11"/>
      <x:c r="B3" s="11"/>
      <x:c r="C3" s="11"/>
      <x:c r="D3" s="11"/>
      <x:c r="E3" s="11"/>
      <x:c r="F3" s="11"/>
      <x:c r="G3" s="11"/>
    </x:row>
    <x:row r="5">
      <x:c r="A5" s="19" t="str">
        <x:v>Later service in history</x:v>
      </x:c>
      <x:c r="B5" s="19" t="str">
        <x:v>CPT</x:v>
      </x:c>
      <x:c r="C5" s="19" t="str">
        <x:v>Synthetic earlier action</x:v>
      </x:c>
      <x:c r="D5" s="19" t="str">
        <x:v>Reference claim</x:v>
      </x:c>
      <x:c r="E5" s="19" t="str">
        <x:v>Hypothesis supported in demo?</x:v>
      </x:c>
      <x:c r="F5" s="19" t="str">
        <x:v>Causal evidence in real data?</x:v>
      </x:c>
      <x:c r="G5" s="19" t="str">
        <x:v>Notes</x:v>
      </x:c>
    </x:row>
    <x:row r="6">
      <x:c r="A6" s="30" t="str">
        <x:v>Follow-up Office Visit</x:v>
      </x:c>
      <x:c r="B6" s="30" t="str">
        <x:v>99214</x:v>
      </x:c>
      <x:c r="C6" s="30" t="str">
        <x:v>Schedule an early follow-up after the 3 Jan office visit</x:v>
      </x:c>
      <x:c r="D6" s="30" t="str">
        <x:v>CLM00000414</x:v>
      </x:c>
      <x:c r="E6" s="31" t="str">
        <x:v>YES</x:v>
      </x:c>
      <x:c r="F6" s="48" t="str">
        <x:v>NO</x:v>
      </x:c>
      <x:c r="G6" s="30" t="str">
        <x:v>Synthetic demo assumes earlier follow-up would reduce later utilization.</x:v>
      </x:c>
    </x:row>
    <x:row r="7">
      <x:c r="A7" s="30" t="str">
        <x:v>Urine Culture</x:v>
      </x:c>
      <x:c r="B7" s="30" t="str">
        <x:v>87086</x:v>
      </x:c>
      <x:c r="C7" s="30" t="str">
        <x:v>Perform a urine culture at/soon after the reference visit</x:v>
      </x:c>
      <x:c r="D7" s="30" t="str">
        <x:v>CLM00000414</x:v>
      </x:c>
      <x:c r="E7" s="31" t="str">
        <x:v>YES</x:v>
      </x:c>
      <x:c r="F7" s="48" t="str">
        <x:v>NO</x:v>
      </x:c>
      <x:c r="G7" s="30" t="str">
        <x:v>Synthetic demo assumes earlier culture would detect unresolved infection sooner.</x:v>
      </x:c>
    </x:row>
    <x:row r="8">
      <x:c r="A8" s="30" t="str">
        <x:v>Urinalysis with Microscopy</x:v>
      </x:c>
      <x:c r="B8" s="30" t="str">
        <x:v>81001</x:v>
      </x:c>
      <x:c r="C8" s="30" t="str">
        <x:v>Perform urinalysis during early follow-up</x:v>
      </x:c>
      <x:c r="D8" s="30" t="str">
        <x:v>CLM00000414</x:v>
      </x:c>
      <x:c r="E8" s="31" t="str">
        <x:v>YES</x:v>
      </x:c>
      <x:c r="F8" s="48" t="str">
        <x:v>NO</x:v>
      </x:c>
      <x:c r="G8" s="30" t="str">
        <x:v>Synthetic demo assumes earlier response checking would support timely management.</x:v>
      </x:c>
    </x:row>
  </x:sheetData>
  <x:mergeCells>
    <x:mergeCell ref="A1:G1"/>
    <x:mergeCell ref="A2:G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0" hidden="0" customWidth="1"/>
    <x:col min="4" max="4" width="12" hidden="0" customWidth="1"/>
    <x:col min="5" max="5" width="16" hidden="0" customWidth="1"/>
    <x:col min="6" max="6" width="15" hidden="0" customWidth="1"/>
    <x:col min="7" max="7" width="15" hidden="0" customWidth="1"/>
    <x:col min="8" max="8" width="20" hidden="0" customWidth="1"/>
    <x:col min="9" max="9" width="18" hidden="0" customWidth="1"/>
    <x:col min="10" max="10" width="14" hidden="0" customWidth="1"/>
    <x:col min="11" max="11" width="26" hidden="0" customWidth="1"/>
  </x:cols>
  <x:sheetData>
    <x:row r="1" ht="28" customHeight="1">
      <x:c r="A1" s="4" t="str">
        <x:v>Synthetic EDI 835-Style Remittance Evidence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6" customHeight="1">
      <x:c r="A2" s="11" t="str">
        <x:v>Synthetic payment rows were created because the real uploaded PAYMENT rows did not contain dollar amounts. These rows are for testing only.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 ht="36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5">
      <x:c r="A5" s="19" t="str">
        <x:v>Synthetic_Flag</x:v>
      </x:c>
      <x:c r="B5" s="19" t="str">
        <x:v>Claim_ID</x:v>
      </x:c>
      <x:c r="C5" s="19" t="str">
        <x:v>Claim_Line_ID</x:v>
      </x:c>
      <x:c r="D5" s="19" t="str">
        <x:v>Payer_ID</x:v>
      </x:c>
      <x:c r="E5" s="19" t="str">
        <x:v>Payer_Name</x:v>
      </x:c>
      <x:c r="F5" s="19" t="str">
        <x:v>Allowed_Amount</x:v>
      </x:c>
      <x:c r="G5" s="19" t="str">
        <x:v>Paid_Amount</x:v>
      </x:c>
      <x:c r="H5" s="19" t="str">
        <x:v>Patient_Responsibility</x:v>
      </x:c>
      <x:c r="I5" s="19" t="str">
        <x:v>Adjustment_Amount</x:v>
      </x:c>
      <x:c r="J5" s="19" t="str">
        <x:v>Payment_Date</x:v>
      </x:c>
      <x:c r="K5" s="19" t="str">
        <x:v>Final_Adjudication_Status</x:v>
      </x:c>
    </x:row>
    <x:row r="6">
      <x:c r="A6" s="30" t="str">
        <x:v>Y</x:v>
      </x:c>
      <x:c r="B6" s="30" t="str">
        <x:v>CLM00000414</x:v>
      </x:c>
      <x:c r="C6" s="30" t="str">
        <x:v>CLM00000414-L01</x:v>
      </x:c>
      <x:c r="D6" s="30" t="str">
        <x:v>95655</x:v>
      </x:c>
      <x:c r="E6" s="30" t="str">
        <x:v>Centene</x:v>
      </x:c>
      <x:c r="F6" s="39" t="n">
        <x:v>575</x:v>
      </x:c>
      <x:c r="G6" s="39" t="n">
        <x:v>516.59</x:v>
      </x:c>
      <x:c r="H6" s="39" t="n">
        <x:v>30</x:v>
      </x:c>
      <x:c r="I6" s="39" t="n">
        <x:v>28.41</x:v>
      </x:c>
      <x:c r="J6" s="38" t="n">
        <x:v>46042</x:v>
      </x:c>
      <x:c r="K6" s="30" t="str">
        <x:v>Final Paid</x:v>
      </x:c>
    </x:row>
    <x:row r="7">
      <x:c r="A7" s="30" t="str">
        <x:v>Y</x:v>
      </x:c>
      <x:c r="B7" s="30" t="str">
        <x:v>CLM00000462</x:v>
      </x:c>
      <x:c r="C7" s="30" t="str">
        <x:v>CLM00000462-L01</x:v>
      </x:c>
      <x:c r="D7" s="30" t="str">
        <x:v>95655</x:v>
      </x:c>
      <x:c r="E7" s="30" t="str">
        <x:v>Centene</x:v>
      </x:c>
      <x:c r="F7" s="39" t="n">
        <x:v>1080</x:v>
      </x:c>
      <x:c r="G7" s="39" t="n">
        <x:v>975.99</x:v>
      </x:c>
      <x:c r="H7" s="39" t="n">
        <x:v>55</x:v>
      </x:c>
      <x:c r="I7" s="39" t="n">
        <x:v>49.01</x:v>
      </x:c>
      <x:c r="J7" s="38" t="n">
        <x:v>46047</x:v>
      </x:c>
      <x:c r="K7" s="30" t="str">
        <x:v>Final Paid</x:v>
      </x:c>
    </x:row>
    <x:row r="8">
      <x:c r="A8" s="30" t="str">
        <x:v>Y</x:v>
      </x:c>
      <x:c r="B8" s="30" t="str">
        <x:v>CLM00000455</x:v>
      </x:c>
      <x:c r="C8" s="30" t="str">
        <x:v>CLM00000455-L01</x:v>
      </x:c>
      <x:c r="D8" s="30" t="str">
        <x:v>95655</x:v>
      </x:c>
      <x:c r="E8" s="30" t="str">
        <x:v>Centene</x:v>
      </x:c>
      <x:c r="F8" s="39" t="n">
        <x:v>920</x:v>
      </x:c>
      <x:c r="G8" s="39" t="n">
        <x:v>839.43</x:v>
      </x:c>
      <x:c r="H8" s="39" t="n">
        <x:v>40</x:v>
      </x:c>
      <x:c r="I8" s="39" t="n">
        <x:v>40.57</x:v>
      </x:c>
      <x:c r="J8" s="38" t="n">
        <x:v>46091</x:v>
      </x:c>
      <x:c r="K8" s="30" t="str">
        <x:v>Final Paid</x:v>
      </x:c>
    </x:row>
    <x:row r="9">
      <x:c r="A9" s="30" t="str">
        <x:v>Y</x:v>
      </x:c>
      <x:c r="B9" s="30" t="str">
        <x:v>CLM00000434</x:v>
      </x:c>
      <x:c r="C9" s="30" t="str">
        <x:v>CLM00000434-L01</x:v>
      </x:c>
      <x:c r="D9" s="30" t="str">
        <x:v>95655</x:v>
      </x:c>
      <x:c r="E9" s="30" t="str">
        <x:v>Centene</x:v>
      </x:c>
      <x:c r="F9" s="39" t="n">
        <x:v>1200</x:v>
      </x:c>
      <x:c r="G9" s="39" t="n">
        <x:v>1108.77</x:v>
      </x:c>
      <x:c r="H9" s="39" t="n">
        <x:v>45</x:v>
      </x:c>
      <x:c r="I9" s="39" t="n">
        <x:v>46.23</x:v>
      </x:c>
      <x:c r="J9" s="38" t="n">
        <x:v>46095</x:v>
      </x:c>
      <x:c r="K9" s="30" t="str">
        <x:v>Final Paid</x:v>
      </x:c>
    </x:row>
    <x:row r="10">
      <x:c r="A10" s="30" t="str">
        <x:v>Y</x:v>
      </x:c>
      <x:c r="B10" s="30" t="str">
        <x:v>CLM00000407</x:v>
      </x:c>
      <x:c r="C10" s="30" t="str">
        <x:v>CLM00000407-L01</x:v>
      </x:c>
      <x:c r="D10" s="30" t="str">
        <x:v>95655</x:v>
      </x:c>
      <x:c r="E10" s="30" t="str">
        <x:v>Centene</x:v>
      </x:c>
      <x:c r="F10" s="39" t="n">
        <x:v>560</x:v>
      </x:c>
      <x:c r="G10" s="39" t="n">
        <x:v>504.62</x:v>
      </x:c>
      <x:c r="H10" s="39" t="n">
        <x:v>25</x:v>
      </x:c>
      <x:c r="I10" s="39" t="n">
        <x:v>30.38</x:v>
      </x:c>
      <x:c r="J10" s="38" t="n">
        <x:v>46152</x:v>
      </x:c>
      <x:c r="K10" s="30" t="str">
        <x:v>Final Paid</x:v>
      </x:c>
    </x:row>
    <x:row r="11">
      <x:c r="A11" t="str">
        <x:v>Y</x:v>
      </x:c>
      <x:c r="B11" t="str">
        <x:v>CLM00000453</x:v>
      </x:c>
      <x:c r="C11" t="str">
        <x:v>CLM00000453-L01</x:v>
      </x:c>
      <x:c r="D11" t="str">
        <x:v>95655</x:v>
      </x:c>
      <x:c r="E11" t="str">
        <x:v>Centene</x:v>
      </x:c>
      <x:c r="F11" t="n">
        <x:v>180</x:v>
      </x:c>
      <x:c r="G11" t="n">
        <x:v>156.22</x:v>
      </x:c>
      <x:c r="H11" t="n">
        <x:v>10</x:v>
      </x:c>
      <x:c r="I11" t="n">
        <x:v>13.78</x:v>
      </x:c>
      <x:c r="J11" t="n">
        <x:v>46160</x:v>
      </x:c>
      <x:c r="K11" t="str">
        <x:v>Final Paid</x:v>
      </x:c>
    </x:row>
  </x:sheetData>
  <x:mergeCells>
    <x:mergeCell ref="A1:K1"/>
    <x:mergeCell ref="A2:K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0" hidden="0" customWidth="1"/>
    <x:col min="4" max="4" width="28" hidden="0" customWidth="1"/>
    <x:col min="5" max="5" width="15" hidden="0" customWidth="1"/>
    <x:col min="6" max="6" width="16" hidden="0" customWidth="1"/>
    <x:col min="7" max="7" width="18" hidden="0" customWidth="1"/>
    <x:col min="8" max="8" width="40" hidden="0" customWidth="1"/>
  </x:cols>
  <x:sheetData>
    <x:row r="1" ht="28" customHeight="1">
      <x:c r="A1" s="4" t="str">
        <x:v>Synthetic Avoidable Payer Cost Calculation</x:v>
      </x:c>
      <x:c r="B1" s="4"/>
      <x:c r="C1" s="4"/>
      <x:c r="D1" s="4"/>
      <x:c r="E1" s="4"/>
      <x:c r="F1" s="4"/>
      <x:c r="G1" s="4"/>
      <x:c r="H1" s="4"/>
    </x:row>
    <x:row r="2" ht="36" customHeight="1">
      <x:c r="A2" s="11" t="str">
        <x:v>All five later claims are deliberately flagged Avoidable=Y in this synthetic scenario so the requested total evaluates to $3,585.03.</x:v>
      </x:c>
      <x:c r="B2" s="11"/>
      <x:c r="C2" s="11"/>
      <x:c r="D2" s="11"/>
      <x:c r="E2" s="11"/>
      <x:c r="F2" s="11"/>
      <x:c r="G2" s="11"/>
      <x:c r="H2" s="11"/>
    </x:row>
    <x:row r="3" ht="36" customHeight="1">
      <x:c r="A3" s="11"/>
      <x:c r="B3" s="11"/>
      <x:c r="C3" s="11"/>
      <x:c r="D3" s="11"/>
      <x:c r="E3" s="11"/>
      <x:c r="F3" s="11"/>
      <x:c r="G3" s="11"/>
      <x:c r="H3" s="11"/>
    </x:row>
    <x:row r="5">
      <x:c r="A5" s="19" t="str">
        <x:v>Date</x:v>
      </x:c>
      <x:c r="B5" s="19" t="str">
        <x:v>Claim_ID</x:v>
      </x:c>
      <x:c r="C5" s="19" t="str">
        <x:v>CPT</x:v>
      </x:c>
      <x:c r="D5" s="19" t="str">
        <x:v>Service</x:v>
      </x:c>
      <x:c r="E5" s="19" t="str">
        <x:v>Paid_Amount</x:v>
      </x:c>
      <x:c r="F5" s="19" t="str">
        <x:v>Avoidable_Flag</x:v>
      </x:c>
      <x:c r="G5" s="19" t="str">
        <x:v>Included_Amount</x:v>
      </x:c>
      <x:c r="H5" s="19" t="str">
        <x:v>Reason</x:v>
      </x:c>
    </x:row>
    <x:row r="6">
      <x:c r="A6" s="38" t="n">
        <x:v>46029</x:v>
      </x:c>
      <x:c r="B6" s="30" t="str">
        <x:v>CLM00000462</x:v>
      </x:c>
      <x:c r="C6" s="30" t="str">
        <x:v>87086</x:v>
      </x:c>
      <x:c r="D6" s="30" t="str">
        <x:v>Urine Culture</x:v>
      </x:c>
      <x:c r="E6" s="39" t="n">
        <x:v>975.99</x:v>
      </x:c>
      <x:c r="F6" s="30" t="str">
        <x:v>Y</x:v>
      </x:c>
      <x:c r="G6" s="39" t="n">
        <x:f>IF(F6="Y",E6,0)</x:f>
        <x:v>975.99</x:v>
      </x:c>
      <x:c r="H6" s="30" t="str">
        <x:v>Synthetic progression claim</x:v>
      </x:c>
    </x:row>
    <x:row r="7">
      <x:c r="A7" s="38" t="n">
        <x:v>46075</x:v>
      </x:c>
      <x:c r="B7" s="30" t="str">
        <x:v>CLM00000455</x:v>
      </x:c>
      <x:c r="C7" s="30" t="str">
        <x:v>99213</x:v>
      </x:c>
      <x:c r="D7" s="30" t="str">
        <x:v>Office Visit</x:v>
      </x:c>
      <x:c r="E7" s="39" t="n">
        <x:v>839.43</x:v>
      </x:c>
      <x:c r="F7" s="30" t="str">
        <x:v>Y</x:v>
      </x:c>
      <x:c r="G7" s="39" t="n">
        <x:f>IF(F7="Y",E7,0)</x:f>
        <x:v>839.43</x:v>
      </x:c>
      <x:c r="H7" s="30" t="str">
        <x:v>Synthetic repetitive UTI claim</x:v>
      </x:c>
    </x:row>
    <x:row r="8">
      <x:c r="A8" s="38" t="n">
        <x:v>46077</x:v>
      </x:c>
      <x:c r="B8" s="30" t="str">
        <x:v>CLM00000434</x:v>
      </x:c>
      <x:c r="C8" s="30" t="str">
        <x:v>87086</x:v>
      </x:c>
      <x:c r="D8" s="30" t="str">
        <x:v>Urine Culture</x:v>
      </x:c>
      <x:c r="E8" s="39" t="n">
        <x:v>1108.77</x:v>
      </x:c>
      <x:c r="F8" s="30" t="str">
        <x:v>Y</x:v>
      </x:c>
      <x:c r="G8" s="39" t="n">
        <x:f>IF(F8="Y",E8,0)</x:f>
        <x:v>1108.77</x:v>
      </x:c>
      <x:c r="H8" s="30" t="str">
        <x:v>Synthetic repetitive UTI claim</x:v>
      </x:c>
    </x:row>
    <x:row r="9">
      <x:c r="A9" s="38" t="n">
        <x:v>46137</x:v>
      </x:c>
      <x:c r="B9" s="30" t="str">
        <x:v>CLM00000407</x:v>
      </x:c>
      <x:c r="C9" s="30" t="str">
        <x:v>99214</x:v>
      </x:c>
      <x:c r="D9" s="30" t="str">
        <x:v>Follow-up Office Visit</x:v>
      </x:c>
      <x:c r="E9" s="39" t="n">
        <x:v>504.62</x:v>
      </x:c>
      <x:c r="F9" s="30" t="str">
        <x:v>Y</x:v>
      </x:c>
      <x:c r="G9" s="39" t="n">
        <x:f>IF(F9="Y",E9,0)</x:f>
        <x:v>504.62</x:v>
      </x:c>
      <x:c r="H9" s="30" t="str">
        <x:v>Synthetic repetitive UTI claim</x:v>
      </x:c>
    </x:row>
    <x:row r="10">
      <x:c r="A10" s="38" t="n">
        <x:v>46143</x:v>
      </x:c>
      <x:c r="B10" s="30" t="str">
        <x:v>CLM00000453</x:v>
      </x:c>
      <x:c r="C10" s="30" t="str">
        <x:v>81001</x:v>
      </x:c>
      <x:c r="D10" s="30" t="str">
        <x:v>Urinalysis</x:v>
      </x:c>
      <x:c r="E10" s="39" t="n">
        <x:v>156.22</x:v>
      </x:c>
      <x:c r="F10" s="30" t="str">
        <x:v>Y</x:v>
      </x:c>
      <x:c r="G10" s="39" t="n">
        <x:f>IF(F10="Y",E10,0)</x:f>
        <x:v>156.22</x:v>
      </x:c>
      <x:c r="H10" s="30" t="str">
        <x:v>Synthetic repetitive UTI claim</x:v>
      </x:c>
    </x:row>
    <x:row r="11">
      <x:c r="A11" s="30"/>
      <x:c r="B11" s="30"/>
      <x:c r="C11" s="30"/>
      <x:c r="D11" s="30"/>
      <x:c r="E11" s="30"/>
      <x:c r="F11" s="30"/>
      <x:c r="G11" s="30"/>
      <x:c r="H11" s="30"/>
    </x:row>
    <x:row r="12">
      <x:c r="A12" s="19" t="str">
        <x:v>Metric</x:v>
      </x:c>
      <x:c r="B12" s="19" t="str">
        <x:v>Value</x:v>
      </x:c>
      <x:c r="C12" s="30"/>
      <x:c r="D12" s="30"/>
      <x:c r="E12" s="30"/>
      <x:c r="F12" s="30"/>
      <x:c r="G12" s="30"/>
      <x:c r="H12" s="30"/>
    </x:row>
    <x:row r="13">
      <x:c r="A13" s="30" t="str">
        <x:v>Synthetic total avoidable payer cost</x:v>
      </x:c>
      <x:c r="B13" s="39" t="n">
        <x:f>SUM(G6:G10)</x:f>
        <x:v>3585.0299999999997</x:v>
      </x:c>
      <x:c r="C13" s="30"/>
      <x:c r="D13" s="30"/>
      <x:c r="E13" s="30"/>
      <x:c r="F13" s="30"/>
      <x:c r="G13" s="30"/>
      <x:c r="H13" s="30"/>
    </x:row>
    <x:row r="14">
      <x:c r="A14" s="30" t="str">
        <x:v>Requirement met?</x:v>
      </x:c>
      <x:c r="B14" s="30" t="str">
        <x:f>IF(ROUND(B13,2)=3585.03,"YES","NO")</x:f>
        <x:v>YES</x:v>
      </x:c>
      <x:c r="C14" s="30"/>
      <x:c r="D14" s="30"/>
      <x:c r="E14" s="30"/>
      <x:c r="F14" s="30"/>
      <x:c r="G14" s="30"/>
      <x:c r="H14" s="30"/>
    </x:row>
  </x:sheetData>
  <x:mergeCells>
    <x:mergeCell ref="A1:H1"/>
    <x:mergeCell ref="A2:H3"/>
  </x:mergeCells>
  <x:conditionalFormatting sqref="B14:B14">
    <x:cfRule type="expression" dxfId="0" priority="1">
      <x:formula>B14="YES"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 ht="28" customHeight="1">
      <x:c r="A1" s="4" t="str">
        <x:v>Synthetic Case Narrative</x:v>
      </x:c>
      <x:c r="B1" s="4"/>
      <x:c r="C1" s="4"/>
      <x:c r="D1" s="4"/>
      <x:c r="E1" s="4"/>
      <x:c r="F1" s="4"/>
      <x:c r="G1" s="4"/>
      <x:c r="H1" s="4"/>
    </x:row>
    <x:row r="2" ht="36" customHeight="1">
      <x:c r="A2" s="11" t="str">
        <x:v>Copy-ready demonstration text. Every factual statement below refers only to the synthetic demo workbook, not the original uploaded claims.</x:v>
      </x:c>
      <x:c r="B2" s="11"/>
      <x:c r="C2" s="11"/>
      <x:c r="D2" s="11"/>
      <x:c r="E2" s="11"/>
      <x:c r="F2" s="11"/>
      <x:c r="G2" s="11"/>
      <x:c r="H2" s="11"/>
    </x:row>
    <x:row r="3" ht="36" customHeight="1">
      <x:c r="A3" s="11"/>
      <x:c r="B3" s="11"/>
      <x:c r="C3" s="11"/>
      <x:c r="D3" s="11"/>
      <x:c r="E3" s="11"/>
      <x:c r="F3" s="11"/>
      <x:c r="G3" s="11"/>
      <x:c r="H3" s="11"/>
    </x:row>
    <x:row r="5">
      <x:c r="A5" s="19" t="str">
        <x:v>Section</x:v>
      </x:c>
      <x:c r="B5" s="19" t="str">
        <x:v>Synthetic demo text</x:v>
      </x:c>
    </x:row>
    <x:row r="6">
      <x:c r="A6" s="30" t="str">
        <x:v>Reference claim</x:v>
      </x:c>
      <x:c r="B6" s="30" t="str">
        <x:v>On 3 Jan 2026, synthetic claim CLM00000414 for member MBR00006 records N30.90 Cystitis (UTI), CPT 99213 Office Visit, and payer payment of $516.59. Within this synthetic dataset, it is the patient's first documented UTI office visit, and the only service recorded at the visit is the office evaluation.</x:v>
      </x:c>
    </x:row>
    <x:row r="7">
      <x:c r="A7" s="30" t="str">
        <x:v>Prediction claim</x:v>
      </x:c>
      <x:c r="B7" s="30" t="str">
        <x:v>On 7 Jan 2026, synthetic claim CLM00000462 records N11.1 Chronic Obstructive Pyelonephritis, CPT 87086 Urine Culture, and payer payment of $975.99. This is the first synthetic N11.1 record and occurs four days after the reference claim, so the demo flags it as worsening/progression.</x:v>
      </x:c>
    </x:row>
    <x:row r="8">
      <x:c r="A8" s="30" t="str">
        <x:v>Claims-based prediction</x:v>
      </x:c>
      <x:c r="B8" s="30" t="str">
        <x:v>For demonstration purposes, the synthetic scenario assumes that earlier follow-up (99214), urine culture (87086), and urinalysis (81001) could have reduced the chance of the subsequent progression claim. This is a test assumption, not a validated clinical conclusion.</x:v>
      </x:c>
    </x:row>
    <x:row r="9">
      <x:c r="A9" s="30" t="str">
        <x:v>Avoidable repetitive claims</x:v>
      </x:c>
      <x:c r="B9" s="30" t="str">
        <x:v>The five later synthetic claims are explicitly linked to Episode UTI-2026-001 and marked Avoidable=Y for demonstration purposes. Their paid amounts are $975.99, $839.43, $1,108.77, $504.62, and $156.22.</x:v>
      </x:c>
    </x:row>
    <x:row r="10">
      <x:c r="A10" s="30" t="str">
        <x:v>Total</x:v>
      </x:c>
      <x:c r="B10" s="30" t="str">
        <x:v>The synthetic avoidable payer cost is $3,585.03. This number is intentionally constructed for the demo and must not be represented as confirmed savings from the real claims data.</x:v>
      </x:c>
    </x:row>
  </x:sheetData>
  <x:mergeCells>
    <x:mergeCell ref="A1:H1"/>
    <x:mergeCell ref="A2:H3"/>
  </x:mergeCells>
  <x:pageMargins left="0.7" right="0.7" top="0.75" bottom="0.75" header="0.3" footer="0.3"/>
</x:worksheet>
</file>